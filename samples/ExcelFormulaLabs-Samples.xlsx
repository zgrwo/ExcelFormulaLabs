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STR" sheetId="3" state="visible" r:id="rId3"/>
    <sheet xmlns:r="http://schemas.openxmlformats.org/officeDocument/2006/relationships" name="REGEX" sheetId="4" state="visible" r:id="rId4"/>
    <sheet xmlns:r="http://schemas.openxmlformats.org/officeDocument/2006/relationships" name="DT" sheetId="5" state="visible" r:id="rId5"/>
    <sheet xmlns:r="http://schemas.openxmlformats.org/officeDocument/2006/relationships" name="ARR" sheetId="6" state="visible" r:id="rId6"/>
    <sheet xmlns:r="http://schemas.openxmlformats.org/officeDocument/2006/relationships" name="JSON" sheetId="7" state="visible" r:id="rId7"/>
    <sheet xmlns:r="http://schemas.openxmlformats.org/officeDocument/2006/relationships" name="XML" sheetId="8" state="visible" r:id="rId8"/>
    <sheet xmlns:r="http://schemas.openxmlformats.org/officeDocument/2006/relationships" name="DICT" sheetId="9" state="visible" r:id="rId9"/>
    <sheet xmlns:r="http://schemas.openxmlformats.org/officeDocument/2006/relationships" name="LINALG" sheetId="10" state="visible" r:id="rId10"/>
    <sheet xmlns:r="http://schemas.openxmlformats.org/officeDocument/2006/relationships" name="REGRESS" sheetId="11" state="visible" r:id="rId11"/>
    <sheet xmlns:r="http://schemas.openxmlformats.org/officeDocument/2006/relationships" name="SOLVE" sheetId="12" state="visible" r:id="rId12"/>
    <sheet xmlns:r="http://schemas.openxmlformats.org/officeDocument/2006/relationships" name="PHYCHEM" sheetId="13" state="visible" r:id="rId13"/>
    <sheet xmlns:r="http://schemas.openxmlformats.org/officeDocument/2006/relationships" name="DOE" sheetId="14" state="visible" r:id="rId14"/>
    <sheet xmlns:r="http://schemas.openxmlformats.org/officeDocument/2006/relationships" name="SQL" sheetId="15" state="visible" r:id="rId15"/>
    <sheet xmlns:r="http://schemas.openxmlformats.org/officeDocument/2006/relationships" name="PIVOT" sheetId="16" state="visible" r:id="rId16"/>
    <sheet xmlns:r="http://schemas.openxmlformats.org/officeDocument/2006/relationships" name="RANGE" sheetId="17" state="visible" r:id="rId17"/>
    <sheet xmlns:r="http://schemas.openxmlformats.org/officeDocument/2006/relationships" name="F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ExcelFormulaLabs 示例工作簿</t>
        </is>
      </c>
    </row>
    <row r="2">
      <c r="A2" t="inlineStr"/>
    </row>
    <row r="3">
      <c r="A3" t="inlineStr">
        <is>
          <t>1. 先安装加载项：从 GitHub Release 下载对应位数的 .xll，运行 scripts/install.ps1 或按 README 手动加载。</t>
        </is>
      </c>
    </row>
    <row r="4">
      <c r="A4" t="inlineStr">
        <is>
          <t>2. 本工作簿中所有示例公式在加载 .xll 后自动计算；未加载时显示 #NAME? 属预期。</t>
        </is>
      </c>
    </row>
    <row r="5">
      <c r="A5" t="inlineStr">
        <is>
          <t>3. 32/64 位 Excel 必须匹配 .xll 位数；net48 版免安装运行时，net8.0 版需 .NET 8 Desktop Runtime。</t>
        </is>
      </c>
    </row>
    <row r="6">
      <c r="A6" t="inlineStr">
        <is>
          <t>4. 各模块 sheet 左侧为示例数据，右侧（F/G 列）为公式与说明。</t>
        </is>
      </c>
    </row>
    <row r="7">
      <c r="A7" t="inlineStr">
        <is>
          <t>5. 完整函数清单见 docs/specification/api-reference.md；逐函数示例见 docs/user-manual/user-manual.md。</t>
        </is>
      </c>
    </row>
    <row r="8">
      <c r="A8" t="inlineStr"/>
    </row>
    <row r="9">
      <c r="A9" t="inlineStr">
        <is>
          <t>模块索引：STATS、STR、REGEX、DT、ARR、JSON、XML、DICT、LINALG、REGRESS、SOLVE、PHYCHEM、DOE、SQL、PIVOT、RANGE、FS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4" customWidth="1" min="5" max="5"/>
    <col width="26" customWidth="1" min="6" max="6"/>
    <col width="26" customWidth="1" min="7" max="7"/>
  </cols>
  <sheetData>
    <row r="1">
      <c r="A1" s="1" t="inlineStr">
        <is>
          <t>STATS.* — 统计（对标 scipy）</t>
        </is>
      </c>
    </row>
    <row r="3">
      <c r="A3" s="2" t="inlineStr">
        <is>
          <t>value</t>
        </is>
      </c>
      <c r="F3" s="3" t="inlineStr">
        <is>
          <t>均值</t>
        </is>
      </c>
      <c r="G3">
        <f>STATS.MEAN(A4:A13)</f>
        <v/>
      </c>
    </row>
    <row r="4">
      <c r="A4" t="n">
        <v>12.5</v>
      </c>
      <c r="F4" s="3" t="inlineStr">
        <is>
          <t>样本标准差</t>
        </is>
      </c>
      <c r="G4">
        <f>STATS.STDEV(A4:A13)</f>
        <v/>
      </c>
    </row>
    <row r="5">
      <c r="A5" t="n">
        <v>13.1</v>
      </c>
      <c r="F5" s="3" t="inlineStr">
        <is>
          <t>中位数</t>
        </is>
      </c>
      <c r="G5">
        <f>STATS.MEDIAN(A4:A13)</f>
        <v/>
      </c>
    </row>
    <row r="6">
      <c r="A6" t="n">
        <v>11.8</v>
      </c>
      <c r="F6" s="3" t="inlineStr">
        <is>
          <t>描述统计摘要（9 值溢出）</t>
        </is>
      </c>
      <c r="G6">
        <f>STATS.SUMMARY(A4:A13)</f>
        <v/>
      </c>
    </row>
    <row r="7">
      <c r="A7" t="n">
        <v>14.2</v>
      </c>
    </row>
    <row r="8">
      <c r="A8" t="n">
        <v>13.7</v>
      </c>
    </row>
    <row r="9">
      <c r="A9" t="n">
        <v>12.9</v>
      </c>
    </row>
    <row r="10">
      <c r="A10" t="n">
        <v>13.5</v>
      </c>
    </row>
    <row r="11">
      <c r="A11" t="n">
        <v>14</v>
      </c>
    </row>
    <row r="12">
      <c r="A12" t="n">
        <v>12.2</v>
      </c>
    </row>
    <row r="13">
      <c r="A13" t="n">
        <v>13.8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4" customWidth="1" min="4" max="4"/>
    <col width="26" customWidth="1" min="5" max="5"/>
    <col width="30" customWidth="1" min="6" max="6"/>
  </cols>
  <sheetData>
    <row r="1">
      <c r="A1" s="1" t="inlineStr">
        <is>
          <t>STR.* — 字符串</t>
        </is>
      </c>
    </row>
    <row r="3">
      <c r="A3" s="2" t="inlineStr">
        <is>
          <t>text</t>
        </is>
      </c>
      <c r="F3" s="3" t="inlineStr">
        <is>
          <t>反转</t>
        </is>
      </c>
      <c r="G3">
        <f>STR.REVERSE(A4)</f>
        <v/>
      </c>
    </row>
    <row r="4">
      <c r="A4" t="inlineStr">
        <is>
          <t>hello world</t>
        </is>
      </c>
      <c r="F4" s="3" t="inlineStr">
        <is>
          <t>首字母大写</t>
        </is>
      </c>
      <c r="G4">
        <f>STR.TITLE(A4)</f>
        <v/>
      </c>
    </row>
    <row r="5">
      <c r="A5" t="inlineStr">
        <is>
          <t>Excel</t>
        </is>
      </c>
      <c r="F5" s="3" t="inlineStr">
        <is>
          <t>连接数组（忽略空）</t>
        </is>
      </c>
      <c r="G5">
        <f>STR.TEXTJOIN("-", TRUE, A4:A6)</f>
        <v/>
      </c>
    </row>
    <row r="6">
      <c r="A6" t="inlineStr">
        <is>
          <t xml:space="preserve">  spaced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4" customWidth="1" min="4" max="4"/>
    <col width="24" customWidth="1" min="5" max="5"/>
    <col width="32" customWidth="1" min="6" max="6"/>
  </cols>
  <sheetData>
    <row r="1">
      <c r="A1" s="1" t="inlineStr">
        <is>
          <t>REGEX.* — 正则（Excel 原生没有）</t>
        </is>
      </c>
    </row>
    <row r="3">
      <c r="A3" s="2" t="inlineStr">
        <is>
          <t>text</t>
        </is>
      </c>
      <c r="F3" s="3" t="inlineStr">
        <is>
          <t>首个数字串</t>
        </is>
      </c>
      <c r="G3">
        <f>REGEX.MATCH(A4, "\d+")</f>
        <v/>
      </c>
    </row>
    <row r="4">
      <c r="A4" t="inlineStr">
        <is>
          <t>Order A-1024 x3</t>
        </is>
      </c>
      <c r="F4" s="3" t="inlineStr">
        <is>
          <t>是否含数字</t>
        </is>
      </c>
      <c r="G4">
        <f>REGEX.ISMATCH(A4, "\d+")</f>
        <v/>
      </c>
    </row>
    <row r="5">
      <c r="A5" t="inlineStr">
        <is>
          <t>no digits here</t>
        </is>
      </c>
      <c r="F5" s="3" t="inlineStr">
        <is>
          <t>替换全部数字为 #</t>
        </is>
      </c>
      <c r="G5">
        <f>REGEX.REPLACE(A4, "\d", "#")</f>
        <v/>
      </c>
    </row>
    <row r="6">
      <c r="A6" t="inlineStr">
        <is>
          <t>tel 138-0000-0000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4" customWidth="1" min="2" max="2"/>
    <col width="4" customWidth="1" min="3" max="3"/>
    <col width="4" customWidth="1" min="4" max="4"/>
    <col width="30" customWidth="1" min="5" max="5"/>
    <col width="34" customWidth="1" min="6" max="6"/>
  </cols>
  <sheetData>
    <row r="1">
      <c r="A1" s="1" t="inlineStr">
        <is>
          <t>DT.* — 日期时间</t>
        </is>
      </c>
    </row>
    <row r="3">
      <c r="F3" s="3" t="inlineStr">
        <is>
          <t>周岁（1990-05-15 → 今天）</t>
        </is>
      </c>
      <c r="G3">
        <f>DT.AGEYEARS(DATE(1990,5,15), TODAY())</f>
        <v/>
      </c>
    </row>
    <row r="4">
      <c r="F4" s="3" t="inlineStr">
        <is>
          <t>2024 是否闰年</t>
        </is>
      </c>
      <c r="G4">
        <f>DT.ISLEAP(2024)</f>
        <v/>
      </c>
    </row>
    <row r="5">
      <c r="F5" s="3" t="inlineStr">
        <is>
          <t>2026 复活节日期</t>
        </is>
      </c>
      <c r="G5">
        <f>DT.EASTER(2026)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" customWidth="1" min="4" max="4"/>
    <col width="26" customWidth="1" min="5" max="5"/>
    <col width="28" customWidth="1" min="6" max="6"/>
  </cols>
  <sheetData>
    <row r="1">
      <c r="A1" s="1" t="inlineStr">
        <is>
          <t>ARR.* — 数组</t>
        </is>
      </c>
    </row>
    <row r="3">
      <c r="A3" s="2" t="inlineStr">
        <is>
          <t>value</t>
        </is>
      </c>
      <c r="F3" s="3" t="inlineStr">
        <is>
          <t>去重（保留首次顺序）</t>
        </is>
      </c>
      <c r="G3">
        <f>ARR.UNIQUE(A4:A10)</f>
        <v/>
      </c>
    </row>
    <row r="4">
      <c r="A4" t="n">
        <v>3</v>
      </c>
      <c r="F4" s="3" t="inlineStr">
        <is>
          <t>降序排列</t>
        </is>
      </c>
      <c r="G4">
        <f>ARR.SORTDESC(A4:A10)</f>
        <v/>
      </c>
    </row>
    <row r="5">
      <c r="A5" t="n">
        <v>1</v>
      </c>
      <c r="F5" s="3" t="inlineStr">
        <is>
          <t>切片（从索引 1 起 3 个）</t>
        </is>
      </c>
      <c r="G5">
        <f>ARR.SLICE(A4:A10, 1, 3)</f>
        <v/>
      </c>
    </row>
    <row r="6">
      <c r="A6" t="n">
        <v>4</v>
      </c>
    </row>
    <row r="7">
      <c r="A7" t="n">
        <v>1</v>
      </c>
    </row>
    <row r="8">
      <c r="A8" t="n">
        <v>5</v>
      </c>
    </row>
    <row r="9">
      <c r="A9" t="n">
        <v>9</v>
      </c>
    </row>
    <row r="10">
      <c r="A10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4" customWidth="1" min="4" max="4"/>
    <col width="22" customWidth="1" min="5" max="5"/>
    <col width="30" customWidth="1" min="6" max="6"/>
  </cols>
  <sheetData>
    <row r="1">
      <c r="A1" s="1" t="inlineStr">
        <is>
          <t>JSON.* — JSON 解析</t>
        </is>
      </c>
    </row>
    <row r="3">
      <c r="A3" s="2" t="inlineStr">
        <is>
          <t>json</t>
        </is>
      </c>
      <c r="F3" s="3" t="inlineStr">
        <is>
          <t>取字段</t>
        </is>
      </c>
      <c r="G3">
        <f>JSON.QUERY(A4, "name")</f>
        <v/>
      </c>
    </row>
    <row r="4">
      <c r="A4" t="inlineStr">
        <is>
          <t>{"name":"Alice","scores":[90,85]}</t>
        </is>
      </c>
      <c r="F4" s="3" t="inlineStr">
        <is>
          <t>取数组元素</t>
        </is>
      </c>
      <c r="G4">
        <f>JSON.QUERY(A4, "scores[0]")</f>
        <v/>
      </c>
    </row>
    <row r="5">
      <c r="A5" t="inlineStr">
        <is>
          <t>{bad json}</t>
        </is>
      </c>
      <c r="F5" s="3" t="inlineStr">
        <is>
          <t>是否合法 JSON</t>
        </is>
      </c>
      <c r="G5">
        <f>JSON.VALIDATE(A4)</f>
        <v/>
      </c>
    </row>
    <row r="6">
      <c r="F6" s="3" t="inlineStr">
        <is>
          <t>美化输出</t>
        </is>
      </c>
      <c r="G6">
        <f>JSON.PRETTIFY(A4)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" customWidth="1" min="4" max="4"/>
    <col width="26" customWidth="1" min="5" max="5"/>
    <col width="30" customWidth="1" min="6" max="6"/>
  </cols>
  <sheetData>
    <row r="1">
      <c r="A1" s="1" t="inlineStr">
        <is>
          <t>XML.* — XML / XPath</t>
        </is>
      </c>
    </row>
    <row r="3">
      <c r="A3" s="2" t="inlineStr">
        <is>
          <t>xml</t>
        </is>
      </c>
      <c r="F3" s="3" t="inlineStr">
        <is>
          <t>是否合法 XML</t>
        </is>
      </c>
      <c r="G3">
        <f>XML.VALIDATE(A4)</f>
        <v/>
      </c>
    </row>
    <row r="4">
      <c r="A4" t="inlineStr">
        <is>
          <t>&lt;r&gt;&lt;n&gt;1&lt;/n&gt;&lt;n&gt;2&lt;/n&gt;&lt;n&gt;3&lt;/n&gt;&lt;/r&gt;</t>
        </is>
      </c>
      <c r="F4" s="3" t="inlineStr">
        <is>
          <t>XPath 查询（溢出）</t>
        </is>
      </c>
      <c r="G4">
        <f>XML.XPATH(A4, "//n")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" customWidth="1" min="4" max="4"/>
    <col width="30" customWidth="1" min="5" max="5"/>
    <col width="30" customWidth="1" min="6" max="6"/>
  </cols>
  <sheetData>
    <row r="1">
      <c r="A1" s="1" t="inlineStr">
        <is>
          <t>DICT.* — 频率统计</t>
        </is>
      </c>
    </row>
    <row r="3">
      <c r="A3" s="2" t="inlineStr">
        <is>
          <t>item</t>
        </is>
      </c>
      <c r="F3" s="3" t="inlineStr">
        <is>
          <t>频率统计（value/count 两列）</t>
        </is>
      </c>
      <c r="G3">
        <f>DICT.FREQUENCY(A4:A9)</f>
        <v/>
      </c>
    </row>
    <row r="4">
      <c r="A4" t="inlineStr">
        <is>
          <t>A</t>
        </is>
      </c>
    </row>
    <row r="5">
      <c r="A5" t="inlineStr">
        <is>
          <t>B</t>
        </is>
      </c>
    </row>
    <row r="6">
      <c r="A6" t="inlineStr">
        <is>
          <t>A</t>
        </is>
      </c>
    </row>
    <row r="7">
      <c r="A7" t="inlineStr">
        <is>
          <t>C</t>
        </is>
      </c>
    </row>
    <row r="8">
      <c r="A8" t="inlineStr">
        <is>
          <t>A</t>
        </is>
      </c>
    </row>
    <row r="9">
      <c r="A9" t="inlineStr">
        <is>
          <t>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4" customWidth="1" min="4" max="4"/>
    <col width="8" customWidth="1" min="5" max="5"/>
    <col width="4" customWidth="1" min="6" max="6"/>
    <col width="30" customWidth="1" min="7" max="7"/>
    <col width="30" customWidth="1" min="8" max="8"/>
  </cols>
  <sheetData>
    <row r="1">
      <c r="A1" s="1" t="inlineStr">
        <is>
          <t>LINALG.* — 线性代数</t>
        </is>
      </c>
    </row>
    <row r="3">
      <c r="A3" s="2" t="inlineStr">
        <is>
          <t>c1</t>
        </is>
      </c>
      <c r="B3" s="2" t="inlineStr">
        <is>
          <t>c2</t>
        </is>
      </c>
      <c r="C3" s="2" t="inlineStr">
        <is>
          <t>c3</t>
        </is>
      </c>
      <c r="E3" s="2" t="inlineStr">
        <is>
          <t>b</t>
        </is>
      </c>
    </row>
    <row r="4">
      <c r="A4" t="n">
        <v>4</v>
      </c>
      <c r="B4" t="n">
        <v>1</v>
      </c>
      <c r="C4" t="n">
        <v>2</v>
      </c>
      <c r="E4" t="n">
        <v>10</v>
      </c>
    </row>
    <row r="5">
      <c r="A5" t="n">
        <v>3</v>
      </c>
      <c r="B5" t="n">
        <v>5</v>
      </c>
      <c r="C5" t="n">
        <v>1</v>
      </c>
      <c r="E5" t="n">
        <v>12</v>
      </c>
    </row>
    <row r="6">
      <c r="A6" t="n">
        <v>2</v>
      </c>
      <c r="B6" t="n">
        <v>3</v>
      </c>
      <c r="C6" t="n">
        <v>6</v>
      </c>
      <c r="E6" t="n">
        <v>14</v>
      </c>
    </row>
    <row r="7">
      <c r="F7" s="3" t="inlineStr">
        <is>
          <t>行列式</t>
        </is>
      </c>
      <c r="G7">
        <f>LINALG.DET(A4:C6)</f>
        <v/>
      </c>
    </row>
    <row r="8">
      <c r="F8" s="3" t="inlineStr">
        <is>
          <t>解方程组 Ax=b</t>
        </is>
      </c>
      <c r="G8">
        <f>LINALG.SOLVE(A4:C6, E4:E6)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4" customWidth="1" min="4" max="4"/>
    <col width="22" customWidth="1" min="5" max="5"/>
    <col width="30" customWidth="1" min="6" max="6"/>
  </cols>
  <sheetData>
    <row r="1">
      <c r="A1" s="1" t="inlineStr">
        <is>
          <t>REGRESS.* — 回归</t>
        </is>
      </c>
    </row>
    <row r="3">
      <c r="A3" s="2" t="inlineStr">
        <is>
          <t>y</t>
        </is>
      </c>
      <c r="B3" s="2" t="inlineStr">
        <is>
          <t>x1</t>
        </is>
      </c>
      <c r="C3" s="2" t="inlineStr">
        <is>
          <t>x2</t>
        </is>
      </c>
      <c r="F3" s="3" t="inlineStr">
        <is>
          <t>R²</t>
        </is>
      </c>
      <c r="G3">
        <f>REGRESS.RSQ(A4:A8, B4:C8)</f>
        <v/>
      </c>
    </row>
    <row r="4">
      <c r="A4" t="n">
        <v>6</v>
      </c>
      <c r="B4" t="n">
        <v>1</v>
      </c>
      <c r="C4" t="n">
        <v>3</v>
      </c>
      <c r="F4" s="3" t="inlineStr">
        <is>
          <t>OLS 报告（11 行）</t>
        </is>
      </c>
      <c r="G4">
        <f>REGRESS.OLS(A4:A8, B4:C8)</f>
        <v/>
      </c>
    </row>
    <row r="5">
      <c r="A5" t="n">
        <v>6</v>
      </c>
      <c r="B5" t="n">
        <v>2</v>
      </c>
      <c r="C5" t="n">
        <v>1</v>
      </c>
    </row>
    <row r="6">
      <c r="A6" t="n">
        <v>11</v>
      </c>
      <c r="B6" t="n">
        <v>3</v>
      </c>
      <c r="C6" t="n">
        <v>4</v>
      </c>
    </row>
    <row r="7">
      <c r="A7" t="n">
        <v>11</v>
      </c>
      <c r="B7" t="n">
        <v>4</v>
      </c>
      <c r="C7" t="n">
        <v>2</v>
      </c>
    </row>
    <row r="8">
      <c r="A8" t="n">
        <v>16</v>
      </c>
      <c r="B8" t="n">
        <v>5</v>
      </c>
      <c r="C8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" customWidth="1" min="4" max="4"/>
    <col width="30" customWidth="1" min="5" max="5"/>
    <col width="30" customWidth="1" min="6" max="6"/>
  </cols>
  <sheetData>
    <row r="1">
      <c r="A1" s="1" t="inlineStr">
        <is>
          <t>SOLVE.* — 工艺参数反解（历史 6 行 + 请求 1 行）</t>
        </is>
      </c>
    </row>
    <row r="3">
      <c r="A3" s="2" t="inlineStr">
        <is>
          <t>IncomingA</t>
        </is>
      </c>
      <c r="B3" s="2" t="inlineStr">
        <is>
          <t>VariableU1</t>
        </is>
      </c>
      <c r="C3" s="2" t="inlineStr">
        <is>
          <t>OutputY1</t>
        </is>
      </c>
      <c r="F3" s="3" t="inlineStr">
        <is>
          <t>反解可调参数（请求行留空）</t>
        </is>
      </c>
      <c r="G3">
        <f>SOLVE.INVERSE(A4:C11)</f>
        <v/>
      </c>
    </row>
    <row r="4">
      <c r="A4" t="n">
        <v>5</v>
      </c>
      <c r="B4" t="n">
        <v>2</v>
      </c>
      <c r="C4" t="n">
        <v>7.5</v>
      </c>
    </row>
    <row r="5">
      <c r="A5" t="n">
        <v>6</v>
      </c>
      <c r="B5" t="n">
        <v>3</v>
      </c>
      <c r="C5" t="n">
        <v>9.5</v>
      </c>
    </row>
    <row r="6">
      <c r="A6" t="n">
        <v>7</v>
      </c>
      <c r="B6" t="n">
        <v>2</v>
      </c>
      <c r="C6" t="n">
        <v>8.5</v>
      </c>
    </row>
    <row r="7">
      <c r="A7" t="n">
        <v>8</v>
      </c>
      <c r="B7" t="n">
        <v>4</v>
      </c>
      <c r="C7" t="n">
        <v>12</v>
      </c>
    </row>
    <row r="8">
      <c r="A8" t="n">
        <v>9</v>
      </c>
      <c r="B8" t="n">
        <v>3</v>
      </c>
      <c r="C8" t="n">
        <v>11</v>
      </c>
    </row>
    <row r="9">
      <c r="A9" t="n">
        <v>10</v>
      </c>
      <c r="B9" t="n">
        <v>2</v>
      </c>
      <c r="C9" t="n">
        <v>10</v>
      </c>
    </row>
    <row r="10">
      <c r="A10" t="n">
        <v>10</v>
      </c>
      <c r="C10" t="n">
        <v>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4" customWidth="1" min="2" max="2"/>
    <col width="4" customWidth="1" min="3" max="3"/>
    <col width="4" customWidth="1" min="4" max="4"/>
    <col width="24" customWidth="1" min="5" max="5"/>
    <col width="28" customWidth="1" min="6" max="6"/>
  </cols>
  <sheetData>
    <row r="1">
      <c r="A1" s="1" t="inlineStr">
        <is>
          <t>PHYCHEM.* — 物理化学换算</t>
        </is>
      </c>
    </row>
    <row r="3">
      <c r="F3" s="3" t="inlineStr">
        <is>
          <t>摄氏 → 华氏</t>
        </is>
      </c>
      <c r="G3">
        <f>PHYCHEM.C_TO_F(100)</f>
        <v/>
      </c>
    </row>
    <row r="4">
      <c r="F4" s="3" t="inlineStr">
        <is>
          <t>分子量 H2SO4</t>
        </is>
      </c>
      <c r="G4">
        <f>PHYCHEM.MOLWT("H2SO4")</f>
        <v/>
      </c>
    </row>
    <row r="5">
      <c r="F5" s="3" t="inlineStr">
        <is>
          <t>密度 = 质量/体积</t>
        </is>
      </c>
      <c r="G5">
        <f>PHYCHEM.DENSITY(100, 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2" customWidth="1" min="1" max="1"/>
    <col width="4" customWidth="1" min="2" max="2"/>
    <col width="4" customWidth="1" min="3" max="3"/>
    <col width="4" customWidth="1" min="4" max="4"/>
    <col width="34" customWidth="1" min="5" max="5"/>
    <col width="30" customWidth="1" min="6" max="6"/>
  </cols>
  <sheetData>
    <row r="1">
      <c r="A1" s="1" t="inlineStr">
        <is>
          <t>DOE.* — 实验设计（全因子 2 因子 × 2 水平）</t>
        </is>
      </c>
    </row>
    <row r="3">
      <c r="F3" s="3" t="inlineStr">
        <is>
          <t>设计矩阵（含 StdOrder/RunOrder）</t>
        </is>
      </c>
      <c r="G3">
        <f>DOE.PLAN(2,2,0,2,"full",FALSE)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4" customWidth="1" min="4" max="4"/>
    <col width="34" customWidth="1" min="5" max="5"/>
    <col width="56" customWidth="1" min="6" max="6"/>
  </cols>
  <sheetData>
    <row r="1">
      <c r="A1" s="1" t="inlineStr">
        <is>
          <t>SQL.* — 对区域写 SQL</t>
        </is>
      </c>
    </row>
    <row r="3">
      <c r="A3" s="2" t="inlineStr">
        <is>
          <t>dept</t>
        </is>
      </c>
      <c r="B3" s="2" t="inlineStr">
        <is>
          <t>salary</t>
        </is>
      </c>
      <c r="F3" s="3" t="inlineStr">
        <is>
          <t>按部门求平均</t>
        </is>
      </c>
      <c r="G3">
        <f>SQL.QUERY(A4:B8, "SELECT dept, AVG(salary) FROM data GROUP BY dept")</f>
        <v/>
      </c>
    </row>
    <row r="4">
      <c r="A4" t="inlineStr">
        <is>
          <t>Eng</t>
        </is>
      </c>
      <c r="B4" t="n">
        <v>12000</v>
      </c>
    </row>
    <row r="5">
      <c r="A5" t="inlineStr">
        <is>
          <t>Eng</t>
        </is>
      </c>
      <c r="B5" t="n">
        <v>15000</v>
      </c>
    </row>
    <row r="6">
      <c r="A6" t="inlineStr">
        <is>
          <t>Ops</t>
        </is>
      </c>
      <c r="B6" t="n">
        <v>9000</v>
      </c>
    </row>
    <row r="7">
      <c r="A7" t="inlineStr">
        <is>
          <t>Ops</t>
        </is>
      </c>
      <c r="B7" t="n">
        <v>9500</v>
      </c>
    </row>
    <row r="8">
      <c r="A8" t="inlineStr">
        <is>
          <t>QA</t>
        </is>
      </c>
      <c r="B8" t="n">
        <v>11000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" customWidth="1" min="4" max="4"/>
    <col width="28" customWidth="1" min="5" max="5"/>
    <col width="40" customWidth="1" min="6" max="6"/>
  </cols>
  <sheetData>
    <row r="1">
      <c r="A1" s="1" t="inlineStr">
        <is>
          <t>PIVOT.* — 分组聚合</t>
        </is>
      </c>
    </row>
    <row r="3">
      <c r="A3" s="2" t="inlineStr">
        <is>
          <t>region</t>
        </is>
      </c>
      <c r="B3" s="2" t="inlineStr">
        <is>
          <t>product</t>
        </is>
      </c>
      <c r="C3" s="2" t="inlineStr">
        <is>
          <t>amount</t>
        </is>
      </c>
      <c r="F3" s="3" t="inlineStr">
        <is>
          <t>按 region 求和 amount</t>
        </is>
      </c>
      <c r="G3">
        <f>PIVOT.GROUPBY(A4:C8, {1}, 3, "sum")</f>
        <v/>
      </c>
    </row>
    <row r="4">
      <c r="A4" t="inlineStr">
        <is>
          <t>North</t>
        </is>
      </c>
      <c r="B4" t="inlineStr">
        <is>
          <t>A</t>
        </is>
      </c>
      <c r="C4" t="n">
        <v>100</v>
      </c>
    </row>
    <row r="5">
      <c r="A5" t="inlineStr">
        <is>
          <t>North</t>
        </is>
      </c>
      <c r="B5" t="inlineStr">
        <is>
          <t>B</t>
        </is>
      </c>
      <c r="C5" t="n">
        <v>200</v>
      </c>
    </row>
    <row r="6">
      <c r="A6" t="inlineStr">
        <is>
          <t>South</t>
        </is>
      </c>
      <c r="B6" t="inlineStr">
        <is>
          <t>A</t>
        </is>
      </c>
      <c r="C6" t="n">
        <v>150</v>
      </c>
    </row>
    <row r="7">
      <c r="A7" t="inlineStr">
        <is>
          <t>South</t>
        </is>
      </c>
      <c r="B7" t="inlineStr">
        <is>
          <t>B</t>
        </is>
      </c>
      <c r="C7" t="n">
        <v>50</v>
      </c>
    </row>
    <row r="8">
      <c r="A8" t="inlineStr">
        <is>
          <t>North</t>
        </is>
      </c>
      <c r="B8" t="inlineStr">
        <is>
          <t>A</t>
        </is>
      </c>
      <c r="C8" t="n">
        <v>120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4" customWidth="1" min="4" max="4"/>
    <col width="22" customWidth="1" min="5" max="5"/>
    <col width="30" customWidth="1" min="6" max="6"/>
  </cols>
  <sheetData>
    <row r="1">
      <c r="A1" s="1" t="inlineStr">
        <is>
          <t>RANGE.* — 区域导出</t>
        </is>
      </c>
    </row>
    <row r="3">
      <c r="A3" s="2" t="inlineStr">
        <is>
          <t>name</t>
        </is>
      </c>
      <c r="B3" s="2" t="inlineStr">
        <is>
          <t>qty</t>
        </is>
      </c>
      <c r="F3" s="3" t="inlineStr">
        <is>
          <t>导出 Markdown</t>
        </is>
      </c>
      <c r="G3">
        <f>RANGE.TOMD(A4:B6, TRUE)</f>
        <v/>
      </c>
    </row>
    <row r="4">
      <c r="A4" t="inlineStr">
        <is>
          <t>Widget</t>
        </is>
      </c>
      <c r="B4" t="n">
        <v>3</v>
      </c>
    </row>
    <row r="5">
      <c r="A5" t="inlineStr">
        <is>
          <t>Gadget</t>
        </is>
      </c>
      <c r="B5" t="n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4" customWidth="1" min="2" max="2"/>
    <col width="4" customWidth="1" min="3" max="3"/>
    <col width="4" customWidth="1" min="4" max="4"/>
    <col width="30" customWidth="1" min="5" max="5"/>
    <col width="34" customWidth="1" min="6" max="6"/>
  </cols>
  <sheetData>
    <row r="1">
      <c r="A1" s="1" t="inlineStr">
        <is>
          <t>FS.* — 文件系统（纯路径函数示例，不读写文件）</t>
        </is>
      </c>
    </row>
    <row r="3">
      <c r="F3" s="3" t="inlineStr">
        <is>
          <t>取文件名（不含扩展名）</t>
        </is>
      </c>
      <c r="G3">
        <f>FS.BNAME("C:\data\report.xlsx")</f>
        <v/>
      </c>
    </row>
    <row r="4">
      <c r="F4" s="3" t="inlineStr">
        <is>
          <t>取扩展名</t>
        </is>
      </c>
      <c r="G4">
        <f>FS.EXT("C:\data\report.xlsx")</f>
        <v/>
      </c>
    </row>
    <row r="5">
      <c r="F5" s="3" t="inlineStr">
        <is>
          <t>规范化路径</t>
        </is>
      </c>
      <c r="G5">
        <f>FS.NORM("C:\data\..\file.txt")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2026-09-23T13:50:41Z</dcterms:created>
  <dcterms:modified xmlns:dcterms="http://purl.org/dc/terms/" xmlns:xsi="http://www.w3.org/2001/XMLSchema-instance" xsi:type="dcterms:W3CDTF">2026-09-23T13:50:41Z</dcterms:modified>
</cp:coreProperties>
</file>